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Документы\МТС\МТС ЦОС НСО\"/>
    </mc:Choice>
  </mc:AlternateContent>
  <xr:revisionPtr revIDLastSave="0" documentId="13_ncr:1_{D007C964-76D7-4565-A877-43B9387DEAC2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ВСО" sheetId="1" r:id="rId1"/>
    <sheet name="КЖ" sheetId="2" r:id="rId2"/>
    <sheet name="схем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2" l="1"/>
  <c r="G2" i="2"/>
  <c r="C14" i="2"/>
  <c r="G14" i="2" s="1"/>
  <c r="C15" i="2"/>
  <c r="G15" i="2" s="1"/>
  <c r="C16" i="2"/>
  <c r="G16" i="2" s="1"/>
  <c r="C17" i="2"/>
  <c r="G17" i="2" s="1"/>
  <c r="C18" i="2"/>
  <c r="G18" i="2" s="1"/>
  <c r="C19" i="2"/>
  <c r="G19" i="2" s="1"/>
  <c r="C20" i="2"/>
  <c r="G20" i="2" s="1"/>
  <c r="C21" i="2"/>
  <c r="G21" i="2" s="1"/>
  <c r="C22" i="2"/>
  <c r="G22" i="2" s="1"/>
  <c r="C23" i="2"/>
  <c r="G23" i="2" s="1"/>
  <c r="C24" i="2"/>
  <c r="G24" i="2" s="1"/>
  <c r="C25" i="2"/>
  <c r="G25" i="2" s="1"/>
  <c r="C26" i="2"/>
  <c r="G26" i="2" s="1"/>
  <c r="C27" i="2"/>
  <c r="C28" i="2"/>
  <c r="G28" i="2" s="1"/>
  <c r="C29" i="2"/>
  <c r="G29" i="2" s="1"/>
  <c r="G27" i="2"/>
  <c r="C13" i="2"/>
  <c r="G13" i="2" s="1"/>
  <c r="C12" i="2"/>
  <c r="G12" i="2" s="1"/>
  <c r="C11" i="2"/>
  <c r="G11" i="2" s="1"/>
  <c r="C10" i="2"/>
  <c r="G10" i="2" s="1"/>
  <c r="C9" i="2"/>
  <c r="G9" i="2" s="1"/>
  <c r="C8" i="2"/>
  <c r="G8" i="2" s="1"/>
  <c r="C7" i="2"/>
  <c r="G7" i="2" s="1"/>
  <c r="C6" i="2"/>
  <c r="G6" i="2" s="1"/>
  <c r="C5" i="2"/>
  <c r="G5" i="2" s="1"/>
  <c r="C4" i="2"/>
  <c r="G4" i="2" s="1"/>
  <c r="C3" i="2"/>
  <c r="G3" i="2" s="1"/>
  <c r="F28" i="2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19" i="2"/>
  <c r="F20" i="2" s="1"/>
  <c r="F21" i="2" s="1"/>
  <c r="F22" i="2" s="1"/>
  <c r="F23" i="2" s="1"/>
  <c r="F24" i="2" s="1"/>
  <c r="F25" i="2" s="1"/>
  <c r="F26" i="2" s="1"/>
  <c r="A35" i="1"/>
  <c r="A36" i="1" s="1"/>
  <c r="A37" i="1" s="1"/>
  <c r="A38" i="1" s="1"/>
  <c r="A39" i="1" s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</calcChain>
</file>

<file path=xl/sharedStrings.xml><?xml version="1.0" encoding="utf-8"?>
<sst xmlns="http://schemas.openxmlformats.org/spreadsheetml/2006/main" count="254" uniqueCount="117">
  <si>
    <t xml:space="preserve">Ведомость смонтированного оборудования  
по проекту ЦОС 2025 </t>
  </si>
  <si>
    <t>Наименование учебного заведения:</t>
  </si>
  <si>
    <t>Муниципальное казенное общеобразовательное учреждение города Новосибирска "Средняя общеобразовательная школа № 48"</t>
  </si>
  <si>
    <t>Адрес:</t>
  </si>
  <si>
    <t>630120 г.Новосибирск, ул.Титова, 202</t>
  </si>
  <si>
    <t xml:space="preserve">№ </t>
  </si>
  <si>
    <t>Модель</t>
  </si>
  <si>
    <t>Описание</t>
  </si>
  <si>
    <t>Количество</t>
  </si>
  <si>
    <t>ед. изм.</t>
  </si>
  <si>
    <t>Серийные номера</t>
  </si>
  <si>
    <t>ШАТН-12U</t>
  </si>
  <si>
    <t>Шкаф телекоммуникационный, 12U</t>
  </si>
  <si>
    <t>шт.</t>
  </si>
  <si>
    <t>ШАТН-24U</t>
  </si>
  <si>
    <t>Шкаф телекоммуникационный, 24U</t>
  </si>
  <si>
    <t>19'', 1U, 24 порта RJ45, Cat.5e</t>
  </si>
  <si>
    <t>Коммутационная панель</t>
  </si>
  <si>
    <t>ESR-10</t>
  </si>
  <si>
    <t>Маршрутизатор</t>
  </si>
  <si>
    <t>NP05027521</t>
  </si>
  <si>
    <t>MES2300-08P_AC</t>
  </si>
  <si>
    <t>Коммутатор, 8 портов</t>
  </si>
  <si>
    <t>MES2424P_AC</t>
  </si>
  <si>
    <t>Коммутатор, 24 порта</t>
  </si>
  <si>
    <t>ESD1023702</t>
  </si>
  <si>
    <t>ESD1023820</t>
  </si>
  <si>
    <t>WEP-200L</t>
  </si>
  <si>
    <t>Точка доступа</t>
  </si>
  <si>
    <t>WP4B010524</t>
  </si>
  <si>
    <t>WP4B012648</t>
  </si>
  <si>
    <t>WP4B012176*</t>
  </si>
  <si>
    <t>WP4B015795</t>
  </si>
  <si>
    <t>WP4B012641</t>
  </si>
  <si>
    <t>WP4B026633</t>
  </si>
  <si>
    <t>WP4B022308</t>
  </si>
  <si>
    <t>WP4B022314</t>
  </si>
  <si>
    <t>WP4B012124*</t>
  </si>
  <si>
    <t>WP4B016539</t>
  </si>
  <si>
    <t>WP4B026766</t>
  </si>
  <si>
    <t>WP4B015445</t>
  </si>
  <si>
    <t>WP4B016536</t>
  </si>
  <si>
    <t>WP4B015851</t>
  </si>
  <si>
    <t>WP4B015853</t>
  </si>
  <si>
    <t>WP4B010509</t>
  </si>
  <si>
    <t>WP4B012046</t>
  </si>
  <si>
    <t>WP4B015804</t>
  </si>
  <si>
    <t>WP4B023702</t>
  </si>
  <si>
    <t>WP4B009404</t>
  </si>
  <si>
    <t>WP4B019228</t>
  </si>
  <si>
    <t>WP4B010522</t>
  </si>
  <si>
    <t>Видеокамера уличная</t>
  </si>
  <si>
    <t>См. фото</t>
  </si>
  <si>
    <t>Видеокамера внутриобъектовая</t>
  </si>
  <si>
    <t>Видеорегистратор</t>
  </si>
  <si>
    <t>ИБП тип 1</t>
  </si>
  <si>
    <t>ИБП тип 2</t>
  </si>
  <si>
    <t>маркировочный журнал</t>
  </si>
  <si>
    <t>устр-во</t>
  </si>
  <si>
    <t>кабинет</t>
  </si>
  <si>
    <t>кабель</t>
  </si>
  <si>
    <t>патч-панель</t>
  </si>
  <si>
    <t>порт</t>
  </si>
  <si>
    <t>длина</t>
  </si>
  <si>
    <t>UTP-5e</t>
  </si>
  <si>
    <t>коммутационная панель ВКШ 1</t>
  </si>
  <si>
    <t>ТД 1.1</t>
  </si>
  <si>
    <t>1.1 ВК</t>
  </si>
  <si>
    <t>1.2 ВК</t>
  </si>
  <si>
    <t>1.3 ВК</t>
  </si>
  <si>
    <t>1.4 ВК</t>
  </si>
  <si>
    <t>ТД 1.2</t>
  </si>
  <si>
    <t>ТД 1.3</t>
  </si>
  <si>
    <t>ТД 1.4</t>
  </si>
  <si>
    <t>ТД 1.5</t>
  </si>
  <si>
    <t>ТД 1.6</t>
  </si>
  <si>
    <t>ТД 1.7</t>
  </si>
  <si>
    <t>ТД 2.1</t>
  </si>
  <si>
    <t>ТД 2.2</t>
  </si>
  <si>
    <t>ТД 2.3</t>
  </si>
  <si>
    <t>ТД 2.4</t>
  </si>
  <si>
    <t>ТД 2.5</t>
  </si>
  <si>
    <t>ТД 2.6</t>
  </si>
  <si>
    <t>ТД 2.7</t>
  </si>
  <si>
    <t>ТД 3.1</t>
  </si>
  <si>
    <t>ТД 3.2</t>
  </si>
  <si>
    <t>ТД 3.3</t>
  </si>
  <si>
    <t>ТД 3.4</t>
  </si>
  <si>
    <t>ТД 3.5</t>
  </si>
  <si>
    <t>ТД 3.6</t>
  </si>
  <si>
    <t>ТД 3.7</t>
  </si>
  <si>
    <t>ТД 2.8</t>
  </si>
  <si>
    <t>улица</t>
  </si>
  <si>
    <t>коридор</t>
  </si>
  <si>
    <t>тренерская</t>
  </si>
  <si>
    <t>36 информатика</t>
  </si>
  <si>
    <t>37 география</t>
  </si>
  <si>
    <t>38 история</t>
  </si>
  <si>
    <t>34 математика</t>
  </si>
  <si>
    <t>31 химия</t>
  </si>
  <si>
    <t>33 физика</t>
  </si>
  <si>
    <t>библиотека</t>
  </si>
  <si>
    <t>21 русский язык</t>
  </si>
  <si>
    <t>учительская</t>
  </si>
  <si>
    <t>25а ин.яз</t>
  </si>
  <si>
    <t>25 домоводство</t>
  </si>
  <si>
    <t>27 русский язык</t>
  </si>
  <si>
    <t>29 математика</t>
  </si>
  <si>
    <t>23 английский</t>
  </si>
  <si>
    <t>завуч</t>
  </si>
  <si>
    <t>14 медкабинет</t>
  </si>
  <si>
    <t>11 нач.классы</t>
  </si>
  <si>
    <t>12 нач.классы</t>
  </si>
  <si>
    <t>14 нач.классы</t>
  </si>
  <si>
    <t>16 нач.классы</t>
  </si>
  <si>
    <t>18 нач.классы</t>
  </si>
  <si>
    <t>маркировка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</si>
</sst>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6" x14ac:knownFonts="1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Times New Roman"/>
      <charset val="204"/>
    </font>
    <font>
      <sz val="12"/>
      <color theme="1"/>
      <name val="Times New Roman"/>
      <charset val="204"/>
    </font>
    <font>
      <b/>
      <sz val="9"/>
      <name val="Arial"/>
      <charset val="204"/>
    </font>
    <font>
      <sz val="10"/>
      <color rgb="FF000000"/>
      <name val="Arial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/>
    <xf numFmtId="49" fontId="1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 shrinkToFit="1"/>
    </xf>
    <xf numFmtId="0" fontId="3" fillId="0" borderId="1" xfId="0" applyFont="1" applyBorder="1" applyAlignment="1">
      <alignment horizontal="left" vertical="center" wrapText="1" shrinkToFit="1"/>
    </xf>
    <xf numFmtId="49" fontId="3" fillId="0" borderId="1" xfId="0" applyNumberFormat="1" applyFont="1" applyBorder="1" applyAlignment="1">
      <alignment horizontal="right" vertical="center" wrapText="1" shrinkToFit="1"/>
    </xf>
    <xf numFmtId="0" fontId="0" fillId="0" borderId="4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180975</xdr:colOff>
      <xdr:row>29</xdr:row>
      <xdr:rowOff>114300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B1FE890-3F04-1EB4-E5DE-4F91CC7DA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44175" cy="563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topLeftCell="A2" workbookViewId="0">
      <selection activeCell="B19" sqref="B19"/>
    </sheetView>
  </sheetViews>
  <sheetFormatPr defaultColWidth="9" defaultRowHeight="14.4" x14ac:dyDescent="0.3"/>
  <cols>
    <col min="2" max="2" width="30.109375" customWidth="1"/>
    <col min="3" max="3" width="37.109375" customWidth="1"/>
    <col min="6" max="6" width="36.88671875" customWidth="1"/>
  </cols>
  <sheetData>
    <row r="1" spans="1:6" ht="15.75" customHeight="1" x14ac:dyDescent="0.3">
      <c r="A1" s="22" t="s">
        <v>0</v>
      </c>
      <c r="B1" s="22"/>
      <c r="C1" s="22"/>
      <c r="D1" s="22"/>
      <c r="E1" s="22"/>
      <c r="F1" s="22"/>
    </row>
    <row r="2" spans="1:6" ht="31.5" customHeight="1" x14ac:dyDescent="0.3">
      <c r="A2" s="23" t="s">
        <v>1</v>
      </c>
      <c r="B2" s="23"/>
      <c r="C2" s="24" t="s">
        <v>2</v>
      </c>
      <c r="D2" s="24"/>
      <c r="E2" s="24"/>
      <c r="F2" s="24"/>
    </row>
    <row r="3" spans="1:6" ht="21" customHeight="1" x14ac:dyDescent="0.3">
      <c r="A3" s="25" t="s">
        <v>3</v>
      </c>
      <c r="B3" s="25"/>
      <c r="C3" s="24" t="s">
        <v>4</v>
      </c>
      <c r="D3" s="24"/>
      <c r="E3" s="24"/>
      <c r="F3" s="24"/>
    </row>
    <row r="4" spans="1:6" ht="24" x14ac:dyDescent="0.3">
      <c r="A4" s="12" t="s">
        <v>5</v>
      </c>
      <c r="B4" s="12" t="s">
        <v>6</v>
      </c>
      <c r="C4" s="12" t="s">
        <v>7</v>
      </c>
      <c r="D4" s="12" t="s">
        <v>8</v>
      </c>
      <c r="E4" s="12" t="s">
        <v>9</v>
      </c>
      <c r="F4" s="12" t="s">
        <v>10</v>
      </c>
    </row>
    <row r="5" spans="1:6" x14ac:dyDescent="0.3">
      <c r="A5" s="13">
        <v>1</v>
      </c>
      <c r="B5" s="14" t="s">
        <v>11</v>
      </c>
      <c r="C5" s="14" t="s">
        <v>12</v>
      </c>
      <c r="D5" s="13">
        <v>1</v>
      </c>
      <c r="E5" s="13" t="s">
        <v>13</v>
      </c>
      <c r="F5" s="13"/>
    </row>
    <row r="6" spans="1:6" x14ac:dyDescent="0.3">
      <c r="A6" s="13"/>
      <c r="B6" s="14" t="s">
        <v>14</v>
      </c>
      <c r="C6" s="14" t="s">
        <v>15</v>
      </c>
      <c r="D6" s="13"/>
      <c r="E6" s="13" t="s">
        <v>13</v>
      </c>
      <c r="F6" s="13"/>
    </row>
    <row r="7" spans="1:6" x14ac:dyDescent="0.3">
      <c r="A7" s="13">
        <v>2</v>
      </c>
      <c r="B7" s="14" t="s">
        <v>16</v>
      </c>
      <c r="C7" s="14" t="s">
        <v>17</v>
      </c>
      <c r="D7" s="13">
        <v>2</v>
      </c>
      <c r="E7" s="13" t="s">
        <v>13</v>
      </c>
      <c r="F7" s="13"/>
    </row>
    <row r="8" spans="1:6" x14ac:dyDescent="0.3">
      <c r="A8" s="13">
        <v>3</v>
      </c>
      <c r="B8" s="14" t="s">
        <v>18</v>
      </c>
      <c r="C8" s="14" t="s">
        <v>19</v>
      </c>
      <c r="D8" s="13">
        <v>1</v>
      </c>
      <c r="E8" s="13" t="s">
        <v>13</v>
      </c>
      <c r="F8" s="13" t="s">
        <v>20</v>
      </c>
    </row>
    <row r="9" spans="1:6" x14ac:dyDescent="0.3">
      <c r="A9" s="13">
        <v>4</v>
      </c>
      <c r="B9" s="14" t="s">
        <v>21</v>
      </c>
      <c r="C9" s="14" t="s">
        <v>22</v>
      </c>
      <c r="D9" s="13"/>
      <c r="E9" s="13" t="s">
        <v>13</v>
      </c>
      <c r="F9" s="13"/>
    </row>
    <row r="10" spans="1:6" x14ac:dyDescent="0.3">
      <c r="A10" s="13">
        <v>5</v>
      </c>
      <c r="B10" s="14" t="s">
        <v>23</v>
      </c>
      <c r="C10" s="14" t="s">
        <v>24</v>
      </c>
      <c r="D10" s="13">
        <v>1</v>
      </c>
      <c r="E10" s="13" t="s">
        <v>13</v>
      </c>
      <c r="F10" s="13" t="s">
        <v>25</v>
      </c>
    </row>
    <row r="11" spans="1:6" x14ac:dyDescent="0.3">
      <c r="A11" s="13">
        <v>5</v>
      </c>
      <c r="B11" s="14" t="s">
        <v>23</v>
      </c>
      <c r="C11" s="14" t="s">
        <v>24</v>
      </c>
      <c r="D11" s="13">
        <v>1</v>
      </c>
      <c r="E11" s="13" t="s">
        <v>13</v>
      </c>
      <c r="F11" s="13" t="s">
        <v>26</v>
      </c>
    </row>
    <row r="12" spans="1:6" x14ac:dyDescent="0.3">
      <c r="A12" s="13">
        <v>1</v>
      </c>
      <c r="B12" s="14" t="s">
        <v>27</v>
      </c>
      <c r="C12" s="14" t="s">
        <v>28</v>
      </c>
      <c r="D12" s="13">
        <v>1</v>
      </c>
      <c r="E12" s="13" t="s">
        <v>13</v>
      </c>
      <c r="F12" s="13" t="s">
        <v>29</v>
      </c>
    </row>
    <row r="13" spans="1:6" x14ac:dyDescent="0.3">
      <c r="A13" s="13">
        <f t="shared" ref="A13:A33" si="0">A12+1</f>
        <v>2</v>
      </c>
      <c r="B13" s="14" t="s">
        <v>27</v>
      </c>
      <c r="C13" s="14" t="s">
        <v>28</v>
      </c>
      <c r="D13" s="13">
        <v>1</v>
      </c>
      <c r="E13" s="13" t="s">
        <v>13</v>
      </c>
      <c r="F13" s="13" t="s">
        <v>30</v>
      </c>
    </row>
    <row r="14" spans="1:6" x14ac:dyDescent="0.3">
      <c r="A14" s="13">
        <f t="shared" si="0"/>
        <v>3</v>
      </c>
      <c r="B14" s="14" t="s">
        <v>27</v>
      </c>
      <c r="C14" s="14" t="s">
        <v>28</v>
      </c>
      <c r="D14" s="13">
        <v>1</v>
      </c>
      <c r="E14" s="13" t="s">
        <v>13</v>
      </c>
      <c r="F14" s="13" t="s">
        <v>31</v>
      </c>
    </row>
    <row r="15" spans="1:6" x14ac:dyDescent="0.3">
      <c r="A15" s="13">
        <f t="shared" si="0"/>
        <v>4</v>
      </c>
      <c r="B15" s="14" t="s">
        <v>27</v>
      </c>
      <c r="C15" s="14" t="s">
        <v>28</v>
      </c>
      <c r="D15" s="13">
        <v>1</v>
      </c>
      <c r="E15" s="13" t="s">
        <v>13</v>
      </c>
      <c r="F15" s="13" t="s">
        <v>32</v>
      </c>
    </row>
    <row r="16" spans="1:6" x14ac:dyDescent="0.3">
      <c r="A16" s="13">
        <f t="shared" si="0"/>
        <v>5</v>
      </c>
      <c r="B16" s="14" t="s">
        <v>27</v>
      </c>
      <c r="C16" s="14" t="s">
        <v>28</v>
      </c>
      <c r="D16" s="13">
        <v>1</v>
      </c>
      <c r="E16" s="13" t="s">
        <v>13</v>
      </c>
      <c r="F16" s="13" t="s">
        <v>33</v>
      </c>
    </row>
    <row r="17" spans="1:6" x14ac:dyDescent="0.3">
      <c r="A17" s="13">
        <f t="shared" si="0"/>
        <v>6</v>
      </c>
      <c r="B17" s="14" t="s">
        <v>27</v>
      </c>
      <c r="C17" s="14" t="s">
        <v>28</v>
      </c>
      <c r="D17" s="13">
        <v>1</v>
      </c>
      <c r="E17" s="13" t="s">
        <v>13</v>
      </c>
      <c r="F17" s="13" t="s">
        <v>34</v>
      </c>
    </row>
    <row r="18" spans="1:6" x14ac:dyDescent="0.3">
      <c r="A18" s="13">
        <f t="shared" si="0"/>
        <v>7</v>
      </c>
      <c r="B18" s="14" t="s">
        <v>27</v>
      </c>
      <c r="C18" s="14" t="s">
        <v>28</v>
      </c>
      <c r="D18" s="13">
        <v>1</v>
      </c>
      <c r="E18" s="13" t="s">
        <v>13</v>
      </c>
      <c r="F18" s="13" t="s">
        <v>35</v>
      </c>
    </row>
    <row r="19" spans="1:6" x14ac:dyDescent="0.3">
      <c r="A19" s="13">
        <f t="shared" si="0"/>
        <v>8</v>
      </c>
      <c r="B19" s="14" t="s">
        <v>27</v>
      </c>
      <c r="C19" s="14" t="s">
        <v>28</v>
      </c>
      <c r="D19" s="13">
        <v>1</v>
      </c>
      <c r="E19" s="13" t="s">
        <v>13</v>
      </c>
      <c r="F19" s="13" t="s">
        <v>36</v>
      </c>
    </row>
    <row r="20" spans="1:6" x14ac:dyDescent="0.3">
      <c r="A20" s="13">
        <f t="shared" si="0"/>
        <v>9</v>
      </c>
      <c r="B20" s="14" t="s">
        <v>27</v>
      </c>
      <c r="C20" s="14" t="s">
        <v>28</v>
      </c>
      <c r="D20" s="13">
        <v>1</v>
      </c>
      <c r="E20" s="13" t="s">
        <v>13</v>
      </c>
      <c r="F20" s="13" t="s">
        <v>37</v>
      </c>
    </row>
    <row r="21" spans="1:6" x14ac:dyDescent="0.3">
      <c r="A21" s="13">
        <f t="shared" si="0"/>
        <v>10</v>
      </c>
      <c r="B21" s="14" t="s">
        <v>27</v>
      </c>
      <c r="C21" s="14" t="s">
        <v>28</v>
      </c>
      <c r="D21" s="13">
        <v>1</v>
      </c>
      <c r="E21" s="13" t="s">
        <v>13</v>
      </c>
      <c r="F21" s="13" t="s">
        <v>38</v>
      </c>
    </row>
    <row r="22" spans="1:6" x14ac:dyDescent="0.3">
      <c r="A22" s="13">
        <f t="shared" si="0"/>
        <v>11</v>
      </c>
      <c r="B22" s="14" t="s">
        <v>27</v>
      </c>
      <c r="C22" s="14" t="s">
        <v>28</v>
      </c>
      <c r="D22" s="13">
        <v>1</v>
      </c>
      <c r="E22" s="13" t="s">
        <v>13</v>
      </c>
      <c r="F22" s="13" t="s">
        <v>39</v>
      </c>
    </row>
    <row r="23" spans="1:6" x14ac:dyDescent="0.3">
      <c r="A23" s="13">
        <f t="shared" si="0"/>
        <v>12</v>
      </c>
      <c r="B23" s="14" t="s">
        <v>27</v>
      </c>
      <c r="C23" s="14" t="s">
        <v>28</v>
      </c>
      <c r="D23" s="13">
        <v>1</v>
      </c>
      <c r="E23" s="13" t="s">
        <v>13</v>
      </c>
      <c r="F23" s="13" t="s">
        <v>40</v>
      </c>
    </row>
    <row r="24" spans="1:6" x14ac:dyDescent="0.3">
      <c r="A24" s="13">
        <f t="shared" si="0"/>
        <v>13</v>
      </c>
      <c r="B24" s="14" t="s">
        <v>27</v>
      </c>
      <c r="C24" s="14" t="s">
        <v>28</v>
      </c>
      <c r="D24" s="13">
        <v>1</v>
      </c>
      <c r="E24" s="13" t="s">
        <v>13</v>
      </c>
      <c r="F24" s="13" t="s">
        <v>41</v>
      </c>
    </row>
    <row r="25" spans="1:6" x14ac:dyDescent="0.3">
      <c r="A25" s="13">
        <f t="shared" si="0"/>
        <v>14</v>
      </c>
      <c r="B25" s="14" t="s">
        <v>27</v>
      </c>
      <c r="C25" s="14" t="s">
        <v>28</v>
      </c>
      <c r="D25" s="13">
        <v>1</v>
      </c>
      <c r="E25" s="13" t="s">
        <v>13</v>
      </c>
      <c r="F25" s="13" t="s">
        <v>42</v>
      </c>
    </row>
    <row r="26" spans="1:6" x14ac:dyDescent="0.3">
      <c r="A26" s="13">
        <f t="shared" si="0"/>
        <v>15</v>
      </c>
      <c r="B26" s="14" t="s">
        <v>27</v>
      </c>
      <c r="C26" s="14" t="s">
        <v>28</v>
      </c>
      <c r="D26" s="13">
        <v>1</v>
      </c>
      <c r="E26" s="13" t="s">
        <v>13</v>
      </c>
      <c r="F26" s="13" t="s">
        <v>43</v>
      </c>
    </row>
    <row r="27" spans="1:6" x14ac:dyDescent="0.3">
      <c r="A27" s="13">
        <f t="shared" si="0"/>
        <v>16</v>
      </c>
      <c r="B27" s="14" t="s">
        <v>27</v>
      </c>
      <c r="C27" s="14" t="s">
        <v>28</v>
      </c>
      <c r="D27" s="13">
        <v>1</v>
      </c>
      <c r="E27" s="13" t="s">
        <v>13</v>
      </c>
      <c r="F27" s="13" t="s">
        <v>44</v>
      </c>
    </row>
    <row r="28" spans="1:6" x14ac:dyDescent="0.3">
      <c r="A28" s="13">
        <f t="shared" si="0"/>
        <v>17</v>
      </c>
      <c r="B28" s="14" t="s">
        <v>27</v>
      </c>
      <c r="C28" s="14" t="s">
        <v>28</v>
      </c>
      <c r="D28" s="13">
        <v>1</v>
      </c>
      <c r="E28" s="13" t="s">
        <v>13</v>
      </c>
      <c r="F28" s="13" t="s">
        <v>45</v>
      </c>
    </row>
    <row r="29" spans="1:6" x14ac:dyDescent="0.3">
      <c r="A29" s="13">
        <f t="shared" si="0"/>
        <v>18</v>
      </c>
      <c r="B29" s="14" t="s">
        <v>27</v>
      </c>
      <c r="C29" s="14" t="s">
        <v>28</v>
      </c>
      <c r="D29" s="13">
        <v>1</v>
      </c>
      <c r="E29" s="13" t="s">
        <v>13</v>
      </c>
      <c r="F29" s="13" t="s">
        <v>46</v>
      </c>
    </row>
    <row r="30" spans="1:6" x14ac:dyDescent="0.3">
      <c r="A30" s="13">
        <f t="shared" si="0"/>
        <v>19</v>
      </c>
      <c r="B30" s="14" t="s">
        <v>27</v>
      </c>
      <c r="C30" s="14" t="s">
        <v>28</v>
      </c>
      <c r="D30" s="13">
        <v>1</v>
      </c>
      <c r="E30" s="13" t="s">
        <v>13</v>
      </c>
      <c r="F30" s="13" t="s">
        <v>47</v>
      </c>
    </row>
    <row r="31" spans="1:6" x14ac:dyDescent="0.3">
      <c r="A31" s="13">
        <f t="shared" si="0"/>
        <v>20</v>
      </c>
      <c r="B31" s="14" t="s">
        <v>27</v>
      </c>
      <c r="C31" s="14" t="s">
        <v>28</v>
      </c>
      <c r="D31" s="13">
        <v>1</v>
      </c>
      <c r="E31" s="13" t="s">
        <v>13</v>
      </c>
      <c r="F31" s="13" t="s">
        <v>48</v>
      </c>
    </row>
    <row r="32" spans="1:6" x14ac:dyDescent="0.3">
      <c r="A32" s="13">
        <f t="shared" si="0"/>
        <v>21</v>
      </c>
      <c r="B32" s="14" t="s">
        <v>27</v>
      </c>
      <c r="C32" s="14" t="s">
        <v>28</v>
      </c>
      <c r="D32" s="13">
        <v>1</v>
      </c>
      <c r="E32" s="13" t="s">
        <v>13</v>
      </c>
      <c r="F32" s="13" t="s">
        <v>49</v>
      </c>
    </row>
    <row r="33" spans="1:6" x14ac:dyDescent="0.3">
      <c r="A33" s="13">
        <f t="shared" si="0"/>
        <v>22</v>
      </c>
      <c r="B33" s="14" t="s">
        <v>27</v>
      </c>
      <c r="C33" s="14" t="s">
        <v>28</v>
      </c>
      <c r="D33" s="13">
        <v>1</v>
      </c>
      <c r="E33" s="13" t="s">
        <v>13</v>
      </c>
      <c r="F33" s="13" t="s">
        <v>50</v>
      </c>
    </row>
    <row r="34" spans="1:6" x14ac:dyDescent="0.3">
      <c r="A34" s="13">
        <v>6</v>
      </c>
      <c r="B34" s="14"/>
      <c r="C34" s="14" t="s">
        <v>51</v>
      </c>
      <c r="D34" s="13"/>
      <c r="E34" s="13" t="s">
        <v>13</v>
      </c>
      <c r="F34" s="13" t="s">
        <v>52</v>
      </c>
    </row>
    <row r="35" spans="1:6" x14ac:dyDescent="0.3">
      <c r="A35" s="13">
        <f t="shared" ref="A35:A39" si="1">A34+1</f>
        <v>7</v>
      </c>
      <c r="B35" s="14"/>
      <c r="C35" s="14" t="s">
        <v>53</v>
      </c>
      <c r="D35" s="13"/>
      <c r="E35" s="13" t="s">
        <v>13</v>
      </c>
      <c r="F35" s="13" t="s">
        <v>52</v>
      </c>
    </row>
    <row r="36" spans="1:6" x14ac:dyDescent="0.3">
      <c r="A36" s="13">
        <f t="shared" si="1"/>
        <v>8</v>
      </c>
      <c r="B36" s="14"/>
      <c r="C36" s="14" t="s">
        <v>51</v>
      </c>
      <c r="D36" s="13"/>
      <c r="E36" s="13" t="s">
        <v>13</v>
      </c>
      <c r="F36" s="13" t="s">
        <v>52</v>
      </c>
    </row>
    <row r="37" spans="1:6" x14ac:dyDescent="0.3">
      <c r="A37" s="13">
        <f t="shared" si="1"/>
        <v>9</v>
      </c>
      <c r="B37" s="14"/>
      <c r="C37" s="14" t="s">
        <v>53</v>
      </c>
      <c r="D37" s="13"/>
      <c r="E37" s="13" t="s">
        <v>13</v>
      </c>
      <c r="F37" s="13" t="s">
        <v>52</v>
      </c>
    </row>
    <row r="38" spans="1:6" x14ac:dyDescent="0.3">
      <c r="A38" s="13">
        <f t="shared" si="1"/>
        <v>10</v>
      </c>
      <c r="B38" s="14"/>
      <c r="C38" s="14" t="s">
        <v>54</v>
      </c>
      <c r="D38" s="13"/>
      <c r="E38" s="13" t="s">
        <v>13</v>
      </c>
      <c r="F38" s="13" t="s">
        <v>52</v>
      </c>
    </row>
    <row r="39" spans="1:6" x14ac:dyDescent="0.3">
      <c r="A39" s="13">
        <f t="shared" si="1"/>
        <v>11</v>
      </c>
      <c r="B39" s="14"/>
      <c r="C39" s="14" t="s">
        <v>55</v>
      </c>
      <c r="D39" s="13"/>
      <c r="E39" s="13" t="s">
        <v>13</v>
      </c>
      <c r="F39" s="13" t="s">
        <v>52</v>
      </c>
    </row>
    <row r="40" spans="1:6" x14ac:dyDescent="0.3">
      <c r="A40" s="13"/>
      <c r="B40" s="14"/>
      <c r="C40" s="14" t="s">
        <v>56</v>
      </c>
      <c r="D40" s="13"/>
      <c r="E40" s="13" t="s">
        <v>13</v>
      </c>
      <c r="F40" s="13" t="s">
        <v>52</v>
      </c>
    </row>
  </sheetData>
  <mergeCells count="5">
    <mergeCell ref="A1:F1"/>
    <mergeCell ref="A2:B2"/>
    <mergeCell ref="C2:F2"/>
    <mergeCell ref="A3:B3"/>
    <mergeCell ref="C3:F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workbookViewId="0">
      <selection activeCell="H2" sqref="H2"/>
    </sheetView>
  </sheetViews>
  <sheetFormatPr defaultColWidth="9" defaultRowHeight="14.4" x14ac:dyDescent="0.3"/>
  <cols>
    <col min="1" max="1" width="13" style="2" customWidth="1"/>
    <col min="2" max="2" width="13" style="19" customWidth="1"/>
    <col min="3" max="5" width="13" customWidth="1"/>
    <col min="6" max="6" width="13" style="1" customWidth="1"/>
    <col min="7" max="7" width="13" customWidth="1"/>
    <col min="8" max="8" width="13" style="1" customWidth="1"/>
  </cols>
  <sheetData>
    <row r="1" spans="1:8" x14ac:dyDescent="0.3">
      <c r="A1" s="19" t="s">
        <v>57</v>
      </c>
      <c r="H1" s="1">
        <f>SUM(H3:H28)</f>
        <v>1344</v>
      </c>
    </row>
    <row r="2" spans="1:8" s="1" customFormat="1" x14ac:dyDescent="0.3">
      <c r="A2" s="3" t="s">
        <v>58</v>
      </c>
      <c r="B2" s="3" t="s">
        <v>59</v>
      </c>
      <c r="C2" s="4" t="s">
        <v>116</v>
      </c>
      <c r="D2" s="4" t="s">
        <v>60</v>
      </c>
      <c r="E2" s="5" t="s">
        <v>61</v>
      </c>
      <c r="F2" s="5" t="s">
        <v>62</v>
      </c>
      <c r="G2" s="4" t="str">
        <f>C2</f>
        <v>маркировка</v>
      </c>
      <c r="H2" s="4" t="s">
        <v>63</v>
      </c>
    </row>
    <row r="3" spans="1:8" x14ac:dyDescent="0.3">
      <c r="A3" s="3" t="s">
        <v>67</v>
      </c>
      <c r="B3" s="21" t="s">
        <v>92</v>
      </c>
      <c r="C3" s="16" t="str">
        <f>A3</f>
        <v>1.1 ВК</v>
      </c>
      <c r="D3" s="7" t="s">
        <v>64</v>
      </c>
      <c r="E3" s="26" t="s">
        <v>65</v>
      </c>
      <c r="F3" s="8">
        <v>1</v>
      </c>
      <c r="G3" s="18" t="str">
        <f>C3</f>
        <v>1.1 ВК</v>
      </c>
      <c r="H3" s="4">
        <v>30</v>
      </c>
    </row>
    <row r="4" spans="1:8" x14ac:dyDescent="0.3">
      <c r="A4" s="3" t="s">
        <v>68</v>
      </c>
      <c r="B4" s="21" t="s">
        <v>93</v>
      </c>
      <c r="C4" s="17" t="str">
        <f>A4</f>
        <v>1.2 ВК</v>
      </c>
      <c r="D4" s="7" t="s">
        <v>64</v>
      </c>
      <c r="E4" s="27"/>
      <c r="F4" s="10">
        <v>2</v>
      </c>
      <c r="G4" s="18" t="str">
        <f t="shared" ref="G4:G13" si="0">C4</f>
        <v>1.2 ВК</v>
      </c>
      <c r="H4" s="4">
        <v>15</v>
      </c>
    </row>
    <row r="5" spans="1:8" x14ac:dyDescent="0.3">
      <c r="A5" s="3" t="s">
        <v>69</v>
      </c>
      <c r="B5" s="21" t="s">
        <v>92</v>
      </c>
      <c r="C5" s="17" t="str">
        <f t="shared" ref="C5:C6" si="1">A5</f>
        <v>1.3 ВК</v>
      </c>
      <c r="D5" s="7" t="s">
        <v>64</v>
      </c>
      <c r="E5" s="27"/>
      <c r="F5" s="10">
        <v>3</v>
      </c>
      <c r="G5" s="18" t="str">
        <f t="shared" si="0"/>
        <v>1.3 ВК</v>
      </c>
      <c r="H5" s="4">
        <v>55</v>
      </c>
    </row>
    <row r="6" spans="1:8" x14ac:dyDescent="0.3">
      <c r="A6" s="3" t="s">
        <v>70</v>
      </c>
      <c r="B6" s="21" t="s">
        <v>93</v>
      </c>
      <c r="C6" s="17" t="str">
        <f t="shared" si="1"/>
        <v>1.4 ВК</v>
      </c>
      <c r="D6" s="7" t="s">
        <v>64</v>
      </c>
      <c r="E6" s="27"/>
      <c r="F6" s="10">
        <v>4</v>
      </c>
      <c r="G6" s="18" t="str">
        <f t="shared" si="0"/>
        <v>1.4 ВК</v>
      </c>
      <c r="H6" s="4">
        <v>40</v>
      </c>
    </row>
    <row r="7" spans="1:8" x14ac:dyDescent="0.3">
      <c r="A7" s="15" t="s">
        <v>66</v>
      </c>
      <c r="B7" s="21" t="s">
        <v>94</v>
      </c>
      <c r="C7" s="17" t="str">
        <f>RIGHT(A7,3)</f>
        <v>1.1</v>
      </c>
      <c r="D7" s="7" t="s">
        <v>64</v>
      </c>
      <c r="E7" s="27"/>
      <c r="F7" s="10">
        <v>5</v>
      </c>
      <c r="G7" s="18" t="str">
        <f t="shared" si="0"/>
        <v>1.1</v>
      </c>
      <c r="H7" s="4">
        <v>89</v>
      </c>
    </row>
    <row r="8" spans="1:8" x14ac:dyDescent="0.3">
      <c r="A8" s="15" t="s">
        <v>71</v>
      </c>
      <c r="B8" s="21" t="s">
        <v>110</v>
      </c>
      <c r="C8" s="17" t="str">
        <f>RIGHT(A8,3)</f>
        <v>1.2</v>
      </c>
      <c r="D8" s="7" t="s">
        <v>64</v>
      </c>
      <c r="E8" s="27"/>
      <c r="F8" s="10">
        <v>6</v>
      </c>
      <c r="G8" s="18" t="str">
        <f t="shared" si="0"/>
        <v>1.2</v>
      </c>
      <c r="H8" s="4">
        <v>70</v>
      </c>
    </row>
    <row r="9" spans="1:8" x14ac:dyDescent="0.3">
      <c r="A9" s="15" t="s">
        <v>72</v>
      </c>
      <c r="B9" s="21" t="s">
        <v>115</v>
      </c>
      <c r="C9" s="17" t="str">
        <f t="shared" ref="C9:C13" si="2">RIGHT(A9,3)</f>
        <v>1.3</v>
      </c>
      <c r="D9" s="7" t="s">
        <v>64</v>
      </c>
      <c r="E9" s="27"/>
      <c r="F9" s="10">
        <v>7</v>
      </c>
      <c r="G9" s="18" t="str">
        <f t="shared" si="0"/>
        <v>1.3</v>
      </c>
      <c r="H9" s="4">
        <v>50</v>
      </c>
    </row>
    <row r="10" spans="1:8" x14ac:dyDescent="0.3">
      <c r="A10" s="15" t="s">
        <v>73</v>
      </c>
      <c r="B10" s="21" t="s">
        <v>114</v>
      </c>
      <c r="C10" s="17" t="str">
        <f t="shared" si="2"/>
        <v>1.4</v>
      </c>
      <c r="D10" s="7" t="s">
        <v>64</v>
      </c>
      <c r="E10" s="27"/>
      <c r="F10" s="10">
        <v>8</v>
      </c>
      <c r="G10" s="18" t="str">
        <f t="shared" si="0"/>
        <v>1.4</v>
      </c>
      <c r="H10" s="4">
        <v>40</v>
      </c>
    </row>
    <row r="11" spans="1:8" x14ac:dyDescent="0.3">
      <c r="A11" s="15" t="s">
        <v>74</v>
      </c>
      <c r="B11" s="21" t="s">
        <v>113</v>
      </c>
      <c r="C11" s="17" t="str">
        <f t="shared" si="2"/>
        <v>1.5</v>
      </c>
      <c r="D11" s="7" t="s">
        <v>64</v>
      </c>
      <c r="E11" s="27"/>
      <c r="F11" s="10">
        <v>9</v>
      </c>
      <c r="G11" s="18" t="str">
        <f t="shared" si="0"/>
        <v>1.5</v>
      </c>
      <c r="H11" s="4">
        <v>30</v>
      </c>
    </row>
    <row r="12" spans="1:8" x14ac:dyDescent="0.3">
      <c r="A12" s="15" t="s">
        <v>75</v>
      </c>
      <c r="B12" s="21" t="s">
        <v>112</v>
      </c>
      <c r="C12" s="17" t="str">
        <f t="shared" si="2"/>
        <v>1.6</v>
      </c>
      <c r="D12" s="7" t="s">
        <v>64</v>
      </c>
      <c r="E12" s="27"/>
      <c r="F12" s="10">
        <v>10</v>
      </c>
      <c r="G12" s="18" t="str">
        <f t="shared" si="0"/>
        <v>1.6</v>
      </c>
      <c r="H12" s="4">
        <v>40</v>
      </c>
    </row>
    <row r="13" spans="1:8" x14ac:dyDescent="0.3">
      <c r="A13" s="15" t="s">
        <v>76</v>
      </c>
      <c r="B13" s="21" t="s">
        <v>111</v>
      </c>
      <c r="C13" s="17" t="str">
        <f t="shared" si="2"/>
        <v>1.7</v>
      </c>
      <c r="D13" s="7" t="s">
        <v>64</v>
      </c>
      <c r="E13" s="27"/>
      <c r="F13" s="10">
        <v>11</v>
      </c>
      <c r="G13" s="18" t="str">
        <f t="shared" si="0"/>
        <v>1.7</v>
      </c>
      <c r="H13" s="4">
        <v>50</v>
      </c>
    </row>
    <row r="14" spans="1:8" x14ac:dyDescent="0.3">
      <c r="A14" s="15" t="s">
        <v>77</v>
      </c>
      <c r="B14" s="21" t="s">
        <v>103</v>
      </c>
      <c r="C14" s="17" t="str">
        <f t="shared" ref="C14:C28" si="3">RIGHT(A14,3)</f>
        <v>2.1</v>
      </c>
      <c r="D14" s="7" t="s">
        <v>64</v>
      </c>
      <c r="E14" s="27"/>
      <c r="F14" s="10">
        <v>12</v>
      </c>
      <c r="G14" s="18" t="str">
        <f t="shared" ref="G14:G29" si="4">C14</f>
        <v>2.1</v>
      </c>
      <c r="H14" s="4">
        <v>35</v>
      </c>
    </row>
    <row r="15" spans="1:8" x14ac:dyDescent="0.3">
      <c r="A15" s="15" t="s">
        <v>78</v>
      </c>
      <c r="B15" s="21" t="s">
        <v>104</v>
      </c>
      <c r="C15" s="17" t="str">
        <f t="shared" si="3"/>
        <v>2.2</v>
      </c>
      <c r="D15" s="7" t="s">
        <v>64</v>
      </c>
      <c r="E15" s="27"/>
      <c r="F15" s="10">
        <v>13</v>
      </c>
      <c r="G15" s="18" t="str">
        <f t="shared" si="4"/>
        <v>2.2</v>
      </c>
      <c r="H15" s="4">
        <v>55</v>
      </c>
    </row>
    <row r="16" spans="1:8" x14ac:dyDescent="0.3">
      <c r="A16" s="15" t="s">
        <v>79</v>
      </c>
      <c r="B16" s="21" t="s">
        <v>107</v>
      </c>
      <c r="C16" s="17" t="str">
        <f t="shared" si="3"/>
        <v>2.3</v>
      </c>
      <c r="D16" s="7" t="s">
        <v>64</v>
      </c>
      <c r="E16" s="27"/>
      <c r="F16" s="10">
        <v>14</v>
      </c>
      <c r="G16" s="18" t="str">
        <f t="shared" si="4"/>
        <v>2.3</v>
      </c>
      <c r="H16" s="4">
        <v>45</v>
      </c>
    </row>
    <row r="17" spans="1:8" x14ac:dyDescent="0.3">
      <c r="A17" s="15" t="s">
        <v>80</v>
      </c>
      <c r="B17" s="21" t="s">
        <v>106</v>
      </c>
      <c r="C17" s="17" t="str">
        <f t="shared" si="3"/>
        <v>2.4</v>
      </c>
      <c r="D17" s="7" t="s">
        <v>64</v>
      </c>
      <c r="E17" s="27"/>
      <c r="F17" s="10">
        <v>15</v>
      </c>
      <c r="G17" s="18" t="str">
        <f t="shared" si="4"/>
        <v>2.4</v>
      </c>
      <c r="H17" s="4">
        <v>35</v>
      </c>
    </row>
    <row r="18" spans="1:8" x14ac:dyDescent="0.3">
      <c r="A18" s="15" t="s">
        <v>81</v>
      </c>
      <c r="B18" s="21" t="s">
        <v>105</v>
      </c>
      <c r="C18" s="17" t="str">
        <f t="shared" si="3"/>
        <v>2.5</v>
      </c>
      <c r="D18" s="7" t="s">
        <v>64</v>
      </c>
      <c r="E18" s="27"/>
      <c r="F18" s="10">
        <v>16</v>
      </c>
      <c r="G18" s="18" t="str">
        <f t="shared" si="4"/>
        <v>2.5</v>
      </c>
      <c r="H18" s="4">
        <v>40</v>
      </c>
    </row>
    <row r="19" spans="1:8" x14ac:dyDescent="0.3">
      <c r="A19" s="15" t="s">
        <v>82</v>
      </c>
      <c r="B19" s="21" t="s">
        <v>108</v>
      </c>
      <c r="C19" s="17" t="str">
        <f t="shared" si="3"/>
        <v>2.6</v>
      </c>
      <c r="D19" s="7" t="s">
        <v>64</v>
      </c>
      <c r="E19" s="27"/>
      <c r="F19" s="10">
        <f>F18+1</f>
        <v>17</v>
      </c>
      <c r="G19" s="18" t="str">
        <f t="shared" si="4"/>
        <v>2.6</v>
      </c>
      <c r="H19" s="4">
        <v>55</v>
      </c>
    </row>
    <row r="20" spans="1:8" x14ac:dyDescent="0.3">
      <c r="A20" s="15" t="s">
        <v>83</v>
      </c>
      <c r="B20" s="21" t="s">
        <v>109</v>
      </c>
      <c r="C20" s="17" t="str">
        <f t="shared" si="3"/>
        <v>2.7</v>
      </c>
      <c r="D20" s="7" t="s">
        <v>64</v>
      </c>
      <c r="E20" s="27"/>
      <c r="F20" s="10">
        <f t="shared" ref="F20:F50" si="5">F19+1</f>
        <v>18</v>
      </c>
      <c r="G20" s="18" t="str">
        <f t="shared" si="4"/>
        <v>2.7</v>
      </c>
      <c r="H20" s="4">
        <v>55</v>
      </c>
    </row>
    <row r="21" spans="1:8" x14ac:dyDescent="0.3">
      <c r="A21" s="15" t="s">
        <v>91</v>
      </c>
      <c r="B21" s="21" t="s">
        <v>102</v>
      </c>
      <c r="C21" s="17" t="str">
        <f t="shared" si="3"/>
        <v>2.8</v>
      </c>
      <c r="D21" s="7" t="s">
        <v>64</v>
      </c>
      <c r="E21" s="27"/>
      <c r="F21" s="10">
        <f t="shared" si="5"/>
        <v>19</v>
      </c>
      <c r="G21" s="18" t="str">
        <f t="shared" si="4"/>
        <v>2.8</v>
      </c>
      <c r="H21" s="4">
        <v>50</v>
      </c>
    </row>
    <row r="22" spans="1:8" x14ac:dyDescent="0.3">
      <c r="A22" s="15" t="s">
        <v>84</v>
      </c>
      <c r="B22" s="21" t="s">
        <v>101</v>
      </c>
      <c r="C22" s="17" t="str">
        <f t="shared" si="3"/>
        <v>3.1</v>
      </c>
      <c r="D22" s="7" t="s">
        <v>64</v>
      </c>
      <c r="E22" s="27"/>
      <c r="F22" s="10">
        <f t="shared" si="5"/>
        <v>20</v>
      </c>
      <c r="G22" s="18" t="str">
        <f t="shared" si="4"/>
        <v>3.1</v>
      </c>
      <c r="H22" s="4">
        <v>45</v>
      </c>
    </row>
    <row r="23" spans="1:8" x14ac:dyDescent="0.3">
      <c r="A23" s="15" t="s">
        <v>85</v>
      </c>
      <c r="B23" s="21" t="s">
        <v>97</v>
      </c>
      <c r="C23" s="17" t="str">
        <f t="shared" si="3"/>
        <v>3.2</v>
      </c>
      <c r="D23" s="7" t="s">
        <v>64</v>
      </c>
      <c r="E23" s="27"/>
      <c r="F23" s="10">
        <f t="shared" si="5"/>
        <v>21</v>
      </c>
      <c r="G23" s="18" t="str">
        <f t="shared" si="4"/>
        <v>3.2</v>
      </c>
      <c r="H23" s="4">
        <v>50</v>
      </c>
    </row>
    <row r="24" spans="1:8" x14ac:dyDescent="0.3">
      <c r="A24" s="15" t="s">
        <v>86</v>
      </c>
      <c r="B24" s="21" t="s">
        <v>96</v>
      </c>
      <c r="C24" s="17" t="str">
        <f t="shared" si="3"/>
        <v>3.3</v>
      </c>
      <c r="D24" s="7" t="s">
        <v>64</v>
      </c>
      <c r="E24" s="27"/>
      <c r="F24" s="10">
        <f t="shared" si="5"/>
        <v>22</v>
      </c>
      <c r="G24" s="18" t="str">
        <f t="shared" si="4"/>
        <v>3.3</v>
      </c>
      <c r="H24" s="4">
        <v>60</v>
      </c>
    </row>
    <row r="25" spans="1:8" x14ac:dyDescent="0.3">
      <c r="A25" s="15" t="s">
        <v>87</v>
      </c>
      <c r="B25" s="21" t="s">
        <v>95</v>
      </c>
      <c r="C25" s="17" t="str">
        <f t="shared" si="3"/>
        <v>3.4</v>
      </c>
      <c r="D25" s="7" t="s">
        <v>64</v>
      </c>
      <c r="E25" s="27"/>
      <c r="F25" s="10">
        <f t="shared" si="5"/>
        <v>23</v>
      </c>
      <c r="G25" s="18" t="str">
        <f t="shared" si="4"/>
        <v>3.4</v>
      </c>
      <c r="H25" s="4">
        <v>65</v>
      </c>
    </row>
    <row r="26" spans="1:8" x14ac:dyDescent="0.3">
      <c r="A26" s="15" t="s">
        <v>88</v>
      </c>
      <c r="B26" s="21" t="s">
        <v>98</v>
      </c>
      <c r="C26" s="17" t="str">
        <f t="shared" si="3"/>
        <v>3.5</v>
      </c>
      <c r="D26" s="7" t="s">
        <v>64</v>
      </c>
      <c r="E26" s="28"/>
      <c r="F26" s="11">
        <f t="shared" si="5"/>
        <v>24</v>
      </c>
      <c r="G26" s="18" t="str">
        <f t="shared" si="4"/>
        <v>3.5</v>
      </c>
      <c r="H26" s="4">
        <v>75</v>
      </c>
    </row>
    <row r="27" spans="1:8" x14ac:dyDescent="0.3">
      <c r="A27" s="15" t="s">
        <v>89</v>
      </c>
      <c r="B27" s="21" t="s">
        <v>100</v>
      </c>
      <c r="C27" s="17" t="str">
        <f t="shared" si="3"/>
        <v>3.6</v>
      </c>
      <c r="D27" s="7" t="s">
        <v>64</v>
      </c>
      <c r="E27" s="26" t="s">
        <v>65</v>
      </c>
      <c r="F27" s="8">
        <v>1</v>
      </c>
      <c r="G27" s="18" t="str">
        <f t="shared" si="4"/>
        <v>3.6</v>
      </c>
      <c r="H27" s="4">
        <v>85</v>
      </c>
    </row>
    <row r="28" spans="1:8" x14ac:dyDescent="0.3">
      <c r="A28" s="15" t="s">
        <v>90</v>
      </c>
      <c r="B28" s="21" t="s">
        <v>99</v>
      </c>
      <c r="C28" s="17" t="str">
        <f t="shared" si="3"/>
        <v>3.7</v>
      </c>
      <c r="D28" s="7" t="s">
        <v>64</v>
      </c>
      <c r="E28" s="27"/>
      <c r="F28" s="10">
        <f t="shared" si="5"/>
        <v>2</v>
      </c>
      <c r="G28" s="18" t="str">
        <f t="shared" si="4"/>
        <v>3.7</v>
      </c>
      <c r="H28" s="4">
        <v>85</v>
      </c>
    </row>
    <row r="29" spans="1:8" x14ac:dyDescent="0.3">
      <c r="A29" s="15"/>
      <c r="B29" s="20"/>
      <c r="C29" s="17" t="str">
        <f>RIGHT(A30,3)</f>
        <v/>
      </c>
      <c r="D29" s="7" t="s">
        <v>64</v>
      </c>
      <c r="E29" s="27"/>
      <c r="F29" s="10">
        <f t="shared" si="5"/>
        <v>3</v>
      </c>
      <c r="G29" s="18" t="str">
        <f t="shared" si="4"/>
        <v/>
      </c>
      <c r="H29" s="4"/>
    </row>
    <row r="30" spans="1:8" x14ac:dyDescent="0.3">
      <c r="A30" s="15"/>
      <c r="B30" s="20"/>
      <c r="C30" s="6"/>
      <c r="D30" s="7" t="s">
        <v>64</v>
      </c>
      <c r="E30" s="27"/>
      <c r="F30" s="10">
        <f t="shared" si="5"/>
        <v>4</v>
      </c>
      <c r="G30" s="9"/>
      <c r="H30" s="4"/>
    </row>
    <row r="31" spans="1:8" x14ac:dyDescent="0.3">
      <c r="A31" s="3"/>
      <c r="B31" s="20"/>
      <c r="C31" s="6"/>
      <c r="D31" s="7" t="s">
        <v>64</v>
      </c>
      <c r="E31" s="27"/>
      <c r="F31" s="10">
        <f t="shared" si="5"/>
        <v>5</v>
      </c>
      <c r="G31" s="9"/>
      <c r="H31" s="4"/>
    </row>
    <row r="32" spans="1:8" x14ac:dyDescent="0.3">
      <c r="A32" s="3"/>
      <c r="B32" s="20"/>
      <c r="C32" s="6"/>
      <c r="D32" s="7" t="s">
        <v>64</v>
      </c>
      <c r="E32" s="27"/>
      <c r="F32" s="10">
        <f t="shared" si="5"/>
        <v>6</v>
      </c>
      <c r="G32" s="9"/>
      <c r="H32" s="4"/>
    </row>
    <row r="33" spans="1:8" x14ac:dyDescent="0.3">
      <c r="A33" s="3"/>
      <c r="B33" s="20"/>
      <c r="C33" s="6"/>
      <c r="D33" s="7" t="s">
        <v>64</v>
      </c>
      <c r="E33" s="27"/>
      <c r="F33" s="10">
        <f t="shared" si="5"/>
        <v>7</v>
      </c>
      <c r="G33" s="9"/>
      <c r="H33" s="4"/>
    </row>
    <row r="34" spans="1:8" x14ac:dyDescent="0.3">
      <c r="A34" s="3"/>
      <c r="B34" s="20"/>
      <c r="C34" s="6"/>
      <c r="D34" s="7" t="s">
        <v>64</v>
      </c>
      <c r="E34" s="27"/>
      <c r="F34" s="10">
        <f t="shared" si="5"/>
        <v>8</v>
      </c>
      <c r="G34" s="9"/>
      <c r="H34" s="4"/>
    </row>
    <row r="35" spans="1:8" x14ac:dyDescent="0.3">
      <c r="A35" s="3"/>
      <c r="B35" s="20"/>
      <c r="C35" s="6"/>
      <c r="D35" s="7" t="s">
        <v>64</v>
      </c>
      <c r="E35" s="27"/>
      <c r="F35" s="10">
        <f t="shared" si="5"/>
        <v>9</v>
      </c>
      <c r="G35" s="9"/>
      <c r="H35" s="4"/>
    </row>
    <row r="36" spans="1:8" x14ac:dyDescent="0.3">
      <c r="A36" s="3"/>
      <c r="B36" s="20"/>
      <c r="C36" s="6"/>
      <c r="D36" s="7" t="s">
        <v>64</v>
      </c>
      <c r="E36" s="27"/>
      <c r="F36" s="10">
        <f t="shared" si="5"/>
        <v>10</v>
      </c>
      <c r="G36" s="9"/>
      <c r="H36" s="4"/>
    </row>
    <row r="37" spans="1:8" x14ac:dyDescent="0.3">
      <c r="A37" s="3"/>
      <c r="B37" s="20"/>
      <c r="C37" s="6"/>
      <c r="D37" s="7" t="s">
        <v>64</v>
      </c>
      <c r="E37" s="27"/>
      <c r="F37" s="10">
        <f t="shared" si="5"/>
        <v>11</v>
      </c>
      <c r="G37" s="9"/>
      <c r="H37" s="4"/>
    </row>
    <row r="38" spans="1:8" x14ac:dyDescent="0.3">
      <c r="A38" s="3"/>
      <c r="B38" s="20"/>
      <c r="C38" s="6"/>
      <c r="D38" s="7" t="s">
        <v>64</v>
      </c>
      <c r="E38" s="27"/>
      <c r="F38" s="10">
        <f t="shared" si="5"/>
        <v>12</v>
      </c>
      <c r="G38" s="9"/>
      <c r="H38" s="4"/>
    </row>
    <row r="39" spans="1:8" x14ac:dyDescent="0.3">
      <c r="A39" s="3"/>
      <c r="B39" s="20"/>
      <c r="C39" s="6"/>
      <c r="D39" s="7" t="s">
        <v>64</v>
      </c>
      <c r="E39" s="27"/>
      <c r="F39" s="10">
        <f t="shared" si="5"/>
        <v>13</v>
      </c>
      <c r="G39" s="9"/>
      <c r="H39" s="4"/>
    </row>
    <row r="40" spans="1:8" x14ac:dyDescent="0.3">
      <c r="A40" s="3"/>
      <c r="B40" s="20"/>
      <c r="C40" s="6"/>
      <c r="D40" s="7" t="s">
        <v>64</v>
      </c>
      <c r="E40" s="27"/>
      <c r="F40" s="10">
        <f t="shared" si="5"/>
        <v>14</v>
      </c>
      <c r="G40" s="9"/>
      <c r="H40" s="4"/>
    </row>
    <row r="41" spans="1:8" x14ac:dyDescent="0.3">
      <c r="A41" s="3"/>
      <c r="B41" s="20"/>
      <c r="C41" s="6"/>
      <c r="D41" s="7" t="s">
        <v>64</v>
      </c>
      <c r="E41" s="27"/>
      <c r="F41" s="10">
        <f t="shared" si="5"/>
        <v>15</v>
      </c>
      <c r="G41" s="9"/>
      <c r="H41" s="4"/>
    </row>
    <row r="42" spans="1:8" x14ac:dyDescent="0.3">
      <c r="A42" s="3"/>
      <c r="B42" s="20"/>
      <c r="C42" s="6"/>
      <c r="D42" s="7" t="s">
        <v>64</v>
      </c>
      <c r="E42" s="27"/>
      <c r="F42" s="10">
        <f t="shared" si="5"/>
        <v>16</v>
      </c>
      <c r="G42" s="9"/>
      <c r="H42" s="4"/>
    </row>
    <row r="43" spans="1:8" x14ac:dyDescent="0.3">
      <c r="A43" s="3"/>
      <c r="B43" s="20"/>
      <c r="C43" s="6"/>
      <c r="D43" s="7" t="s">
        <v>64</v>
      </c>
      <c r="E43" s="27"/>
      <c r="F43" s="10">
        <f t="shared" si="5"/>
        <v>17</v>
      </c>
      <c r="G43" s="9"/>
      <c r="H43" s="4"/>
    </row>
    <row r="44" spans="1:8" x14ac:dyDescent="0.3">
      <c r="A44" s="3"/>
      <c r="B44" s="20"/>
      <c r="C44" s="6"/>
      <c r="D44" s="7" t="s">
        <v>64</v>
      </c>
      <c r="E44" s="27"/>
      <c r="F44" s="10">
        <f t="shared" si="5"/>
        <v>18</v>
      </c>
      <c r="G44" s="9"/>
      <c r="H44" s="4"/>
    </row>
    <row r="45" spans="1:8" x14ac:dyDescent="0.3">
      <c r="A45" s="3"/>
      <c r="B45" s="20"/>
      <c r="C45" s="6"/>
      <c r="D45" s="7" t="s">
        <v>64</v>
      </c>
      <c r="E45" s="27"/>
      <c r="F45" s="10">
        <f t="shared" si="5"/>
        <v>19</v>
      </c>
      <c r="G45" s="9"/>
      <c r="H45" s="4"/>
    </row>
    <row r="46" spans="1:8" x14ac:dyDescent="0.3">
      <c r="A46" s="3"/>
      <c r="B46" s="20"/>
      <c r="C46" s="6"/>
      <c r="D46" s="7" t="s">
        <v>64</v>
      </c>
      <c r="E46" s="27"/>
      <c r="F46" s="10">
        <f t="shared" si="5"/>
        <v>20</v>
      </c>
      <c r="G46" s="9"/>
      <c r="H46" s="4"/>
    </row>
    <row r="47" spans="1:8" x14ac:dyDescent="0.3">
      <c r="A47" s="3"/>
      <c r="B47" s="20"/>
      <c r="C47" s="6"/>
      <c r="D47" s="7" t="s">
        <v>64</v>
      </c>
      <c r="E47" s="27"/>
      <c r="F47" s="10">
        <f t="shared" si="5"/>
        <v>21</v>
      </c>
      <c r="G47" s="9"/>
      <c r="H47" s="4"/>
    </row>
    <row r="48" spans="1:8" x14ac:dyDescent="0.3">
      <c r="A48" s="3"/>
      <c r="B48" s="20"/>
      <c r="C48" s="6"/>
      <c r="D48" s="7" t="s">
        <v>64</v>
      </c>
      <c r="E48" s="27"/>
      <c r="F48" s="10">
        <f t="shared" si="5"/>
        <v>22</v>
      </c>
      <c r="G48" s="9"/>
      <c r="H48" s="4"/>
    </row>
    <row r="49" spans="1:8" x14ac:dyDescent="0.3">
      <c r="A49" s="3"/>
      <c r="B49" s="20"/>
      <c r="C49" s="6"/>
      <c r="D49" s="7" t="s">
        <v>64</v>
      </c>
      <c r="E49" s="27"/>
      <c r="F49" s="10">
        <f t="shared" si="5"/>
        <v>23</v>
      </c>
      <c r="G49" s="9"/>
      <c r="H49" s="4"/>
    </row>
    <row r="50" spans="1:8" x14ac:dyDescent="0.3">
      <c r="A50" s="3"/>
      <c r="B50" s="20"/>
      <c r="D50" s="7" t="s">
        <v>64</v>
      </c>
      <c r="E50" s="28"/>
      <c r="F50" s="11">
        <f t="shared" si="5"/>
        <v>24</v>
      </c>
      <c r="H50" s="4"/>
    </row>
  </sheetData>
  <mergeCells count="2">
    <mergeCell ref="E3:E26"/>
    <mergeCell ref="E27:E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FBDC2-FAFC-4AA5-B62E-A56AF9DECE42}">
  <dimension ref="A1"/>
  <sheetViews>
    <sheetView workbookViewId="0">
      <selection activeCell="S9" sqref="S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ВСО</vt:lpstr>
      <vt:lpstr>КЖ</vt:lpstr>
      <vt:lpstr>схема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Fktrc Xfqrf</dc:creator>
  <cp:lastModifiedBy>Fktrc Xfqrf</cp:lastModifiedBy>
  <dcterms:created xsi:type="dcterms:W3CDTF">2025-09-07T15:52:00Z</dcterms:created>
  <dcterms:modified xsi:type="dcterms:W3CDTF">2026-10-19T01:15:40Z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054D137B99E641268BD247D68F8B783F_12</vt:lpwstr>
  </property>
  <property fmtid="{D5CDD505-2E9C-101B-9397-08002B2CF9AE}" pid="3" name="KSOProductBuildVer">
    <vt:lpwstr>1049-12.2.0.22549</vt:lpwstr>
  </property>
</Properties>
</file>